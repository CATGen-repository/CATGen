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 firstSheet="2" activeTab="3"/>
  </bookViews>
  <sheets>
    <sheet name="RQ1" sheetId="2" r:id="rId1"/>
    <sheet name="RQ2" sheetId="3" r:id="rId2"/>
    <sheet name="RQ3" sheetId="4" r:id="rId3"/>
    <sheet name="Discuss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<sst xmlns="http://schemas.openxmlformats.org/spreadsheetml/2006/main" count="74" uniqueCount="38">
  <si>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Metric</t>
  </si>
  <si>
    <t>Method</t>
  </si>
  <si>
    <t>CL-7B</t>
  </si>
  <si>
    <t>Lla-8B</t>
  </si>
  <si>
    <t>DRL-8B</t>
  </si>
  <si>
    <t>QC-7B</t>
  </si>
  <si>
    <t>QC-32B</t>
  </si>
  <si>
    <t>Q-32B</t>
  </si>
  <si>
    <t>DRQ-32B</t>
  </si>
  <si>
    <t>DC-7B</t>
  </si>
  <si>
    <t>DC-33B</t>
  </si>
  <si>
    <t>Avg</t>
  </si>
  <si>
    <t>CovL</t>
  </si>
  <si>
    <t>CATGen</t>
  </si>
  <si>
    <t>ChatTester</t>
  </si>
  <si>
    <t>ChatUnitest</t>
  </si>
  <si>
    <t>HITS</t>
  </si>
  <si>
    <t>CovB</t>
  </si>
  <si>
    <t>CSR</t>
  </si>
  <si>
    <t>PR</t>
  </si>
  <si>
    <t>TMC</t>
  </si>
  <si>
    <t>App.</t>
  </si>
  <si>
    <t>w/o pf</t>
  </si>
  <si>
    <t>w/o post</t>
  </si>
  <si>
    <t>w/o sa</t>
  </si>
  <si>
    <t>w/o all</t>
  </si>
  <si>
    <t>Generation_Time/s</t>
  </si>
  <si>
    <t>Generation_tokens/k</t>
  </si>
  <si>
    <t>Postprocess_time/s</t>
  </si>
  <si>
    <t xml:space="preserve">Postprocess_tokens/k </t>
  </si>
  <si>
    <t>Total_times</t>
  </si>
  <si>
    <t>Total_tokens</t>
  </si>
  <si>
    <t>ChatTester_no_fixed</t>
  </si>
  <si>
    <t>ChatTester_cat</t>
  </si>
  <si>
    <t>ChatUnitest_no_fixed</t>
  </si>
  <si>
    <t>ChatUnitest_cat</t>
  </si>
  <si>
    <t>HITS_no_fixed</t>
  </si>
  <si>
    <t>HITS_cat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</si>
</sst>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_);[Red]\(0\)"/>
  </numFmts>
  <fonts count="25">
    <font>
      <sz val="11"/>
      <color theme="1"/>
      <name val="宋体"/>
      <charset val="134"/>
      <scheme val="minor"/>
    </font>
    <font>
      <sz val="16"/>
      <color theme="1"/>
      <name val="Times New Roman Regular"/>
      <charset val="134"/>
    </font>
    <font>
      <b/>
      <sz val="16"/>
      <color theme="1"/>
      <name val="Times New Roman Regular"/>
      <charset val="134"/>
    </font>
    <font>
      <sz val="16"/>
      <color theme="1"/>
      <name val="Times New Roman"/>
      <charset val="134"/>
    </font>
    <font>
      <sz val="11"/>
      <color theme="1"/>
      <name val="Times New Roman Regular"/>
      <charset val="134"/>
    </font>
    <font>
      <b/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0" fontId="1" fillId="0" borderId="0" xfId="0" applyNumberFormat="1" applyFont="1" applyFill="1" applyAlignment="1">
      <alignment horizontal="left" vertical="center"/>
    </xf>
    <xf numFmtId="10" fontId="2" fillId="0" borderId="0" xfId="0" applyNumberFormat="1" applyFont="1" applyFill="1" applyAlignment="1">
      <alignment horizontal="left" vertical="center"/>
    </xf>
    <xf numFmtId="10" fontId="1" fillId="0" borderId="0" xfId="0" applyNumberFormat="1" applyFont="1" applyFill="1" applyBorder="1" applyAlignment="1" applyProtection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 wrapText="1"/>
    </xf>
    <xf numFmtId="178" fontId="3" fillId="0" borderId="0" xfId="0" applyNumberFormat="1" applyFont="1" applyFill="1" applyAlignment="1">
      <alignment horizontal="left" vertical="center"/>
    </xf>
    <xf numFmtId="10" fontId="3" fillId="0" borderId="0" xfId="0" applyNumberFormat="1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0" fontId="5" fillId="0" borderId="0" xfId="0" applyNumberFormat="1" applyFont="1" applyFill="1" applyAlignment="1">
      <alignment horizontal="left" vertical="center"/>
    </xf>
    <xf numFmtId="10" fontId="3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A1" sqref="A1:L21"/>
    </sheetView>
  </sheetViews>
  <sheetFormatPr defaultColWidth="9.84615384615385" defaultRowHeight="16.8"/>
  <cols>
    <col min="1" max="1" width="14.25" style="8" customWidth="1"/>
    <col min="2" max="2" width="22.2692307692308" style="8" customWidth="1"/>
    <col min="3" max="3" width="17.3076923076923" style="8" customWidth="1"/>
    <col min="4" max="4" width="14.8942307692308" style="8" customWidth="1"/>
    <col min="5" max="5" width="16.5096153846154" style="8" customWidth="1"/>
    <col min="6" max="6" width="13.9423076923077" style="8" customWidth="1"/>
    <col min="7" max="7" width="13.4615384615385" style="8" customWidth="1"/>
    <col min="8" max="8" width="13.3076923076923" style="8" customWidth="1"/>
    <col min="9" max="9" width="16.3461538461538" style="8" customWidth="1"/>
    <col min="10" max="10" width="13.625" style="8" customWidth="1"/>
    <col min="11" max="11" width="14.4230769230769" style="8" customWidth="1"/>
    <col min="12" max="12" width="13.7692307692308" style="8"/>
    <col min="13" max="16384" width="9.84615384615385" style="8"/>
  </cols>
  <sheetData>
    <row r="1" ht="23.2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1" t="s">
        <v>11</v>
      </c>
    </row>
    <row r="2" ht="23.2" spans="1:12">
      <c r="A2" s="14" t="s">
        <v>12</v>
      </c>
      <c r="B2" s="14" t="s">
        <v>13</v>
      </c>
      <c r="C2" s="14">
        <v>0.6914</v>
      </c>
      <c r="D2" s="14">
        <v>0.5702</v>
      </c>
      <c r="E2" s="14">
        <v>0.636</v>
      </c>
      <c r="F2" s="14">
        <v>0.7105</v>
      </c>
      <c r="G2" s="14">
        <v>0.7579</v>
      </c>
      <c r="H2" s="14">
        <v>0.7168</v>
      </c>
      <c r="I2" s="14">
        <v>0.7549</v>
      </c>
      <c r="J2" s="14">
        <v>0.7315</v>
      </c>
      <c r="K2" s="14">
        <v>0.7401</v>
      </c>
      <c r="L2" s="14">
        <f t="shared" ref="L2:L21" si="0">AVERAGE(C2:K2)</f>
        <v>0.701033333333333</v>
      </c>
    </row>
    <row r="3" ht="23.2" spans="1:12">
      <c r="A3" s="14"/>
      <c r="B3" s="14" t="s">
        <v>14</v>
      </c>
      <c r="C3" s="15">
        <v>0.1719</v>
      </c>
      <c r="D3" s="15">
        <v>0.0251</v>
      </c>
      <c r="E3" s="15">
        <v>0.1392</v>
      </c>
      <c r="F3" s="15">
        <v>0.401</v>
      </c>
      <c r="G3" s="15">
        <v>0.482</v>
      </c>
      <c r="H3" s="15">
        <v>0.3676</v>
      </c>
      <c r="I3" s="15">
        <v>0.4327</v>
      </c>
      <c r="J3" s="15">
        <v>0.3693</v>
      </c>
      <c r="K3" s="15">
        <v>0.3797</v>
      </c>
      <c r="L3" s="15">
        <f t="shared" si="0"/>
        <v>0.307611111111111</v>
      </c>
    </row>
    <row r="4" ht="23.2" spans="1:12">
      <c r="A4" s="14"/>
      <c r="B4" s="14" t="s">
        <v>15</v>
      </c>
      <c r="C4" s="15">
        <v>0.2475</v>
      </c>
      <c r="D4" s="15">
        <v>0.0382</v>
      </c>
      <c r="E4" s="15">
        <v>0.1299</v>
      </c>
      <c r="F4" s="15">
        <v>0.3551</v>
      </c>
      <c r="G4" s="15">
        <v>0.4592</v>
      </c>
      <c r="H4" s="15">
        <v>0.395</v>
      </c>
      <c r="I4" s="15">
        <v>0.4691</v>
      </c>
      <c r="J4" s="15">
        <v>0.2919</v>
      </c>
      <c r="K4" s="15">
        <v>0.2935</v>
      </c>
      <c r="L4" s="15">
        <f t="shared" si="0"/>
        <v>0.297711111111111</v>
      </c>
    </row>
    <row r="5" ht="23.2" spans="1:12">
      <c r="A5" s="14"/>
      <c r="B5" s="14" t="s">
        <v>16</v>
      </c>
      <c r="C5" s="15">
        <v>0.3289</v>
      </c>
      <c r="D5" s="15">
        <v>0.0572</v>
      </c>
      <c r="E5" s="15">
        <v>0.1875</v>
      </c>
      <c r="F5" s="15">
        <v>0.4224</v>
      </c>
      <c r="G5" s="15">
        <v>0.5447</v>
      </c>
      <c r="H5" s="15">
        <v>0.4389</v>
      </c>
      <c r="I5" s="15">
        <v>0.4667</v>
      </c>
      <c r="J5" s="15">
        <v>0.3635</v>
      </c>
      <c r="K5" s="15">
        <v>0.4395</v>
      </c>
      <c r="L5" s="15">
        <f t="shared" si="0"/>
        <v>0.361033333333333</v>
      </c>
    </row>
    <row r="6" ht="23.2" spans="1:12">
      <c r="A6" s="14" t="s">
        <v>17</v>
      </c>
      <c r="B6" s="14" t="s">
        <v>13</v>
      </c>
      <c r="C6" s="14">
        <v>0.6213</v>
      </c>
      <c r="D6" s="14">
        <v>0.4756</v>
      </c>
      <c r="E6" s="14">
        <v>0.5226</v>
      </c>
      <c r="F6" s="14">
        <v>0.6654</v>
      </c>
      <c r="G6" s="14">
        <v>0.7373</v>
      </c>
      <c r="H6" s="14">
        <v>0.6344</v>
      </c>
      <c r="I6" s="14">
        <v>0.7027</v>
      </c>
      <c r="J6" s="14">
        <v>0.6932</v>
      </c>
      <c r="K6" s="14">
        <v>0.7006</v>
      </c>
      <c r="L6" s="14">
        <f t="shared" si="0"/>
        <v>0.639233333333333</v>
      </c>
    </row>
    <row r="7" ht="23.2" spans="1:12">
      <c r="A7" s="14"/>
      <c r="B7" s="14" t="s">
        <v>14</v>
      </c>
      <c r="C7" s="15">
        <v>0.102</v>
      </c>
      <c r="D7" s="15">
        <v>0.0252</v>
      </c>
      <c r="E7" s="15">
        <v>0.1316</v>
      </c>
      <c r="F7" s="15">
        <v>0.4567</v>
      </c>
      <c r="G7" s="15">
        <v>0.496</v>
      </c>
      <c r="H7" s="15">
        <v>0.32</v>
      </c>
      <c r="I7" s="15">
        <v>0.4788</v>
      </c>
      <c r="J7" s="15">
        <v>0.3218</v>
      </c>
      <c r="K7" s="15">
        <v>0.3458</v>
      </c>
      <c r="L7" s="15">
        <f t="shared" si="0"/>
        <v>0.297544444444444</v>
      </c>
    </row>
    <row r="8" ht="23.2" spans="1:12">
      <c r="A8" s="14"/>
      <c r="B8" s="14" t="s">
        <v>15</v>
      </c>
      <c r="C8" s="15">
        <v>0.1492</v>
      </c>
      <c r="D8" s="15">
        <v>0.0325</v>
      </c>
      <c r="E8" s="15">
        <v>0.102</v>
      </c>
      <c r="F8" s="15">
        <v>0.3151</v>
      </c>
      <c r="G8" s="15">
        <v>0.4678</v>
      </c>
      <c r="H8" s="15">
        <v>0.3147</v>
      </c>
      <c r="I8" s="15">
        <v>0.4914</v>
      </c>
      <c r="J8" s="15">
        <v>0.2749</v>
      </c>
      <c r="K8" s="15">
        <v>0.2593</v>
      </c>
      <c r="L8" s="15">
        <f t="shared" si="0"/>
        <v>0.267433333333333</v>
      </c>
    </row>
    <row r="9" ht="23.2" spans="1:12">
      <c r="A9" s="14"/>
      <c r="B9" s="14" t="s">
        <v>16</v>
      </c>
      <c r="C9" s="15">
        <v>0.1661</v>
      </c>
      <c r="D9" s="15">
        <v>0.0512</v>
      </c>
      <c r="E9" s="15">
        <v>0.1227</v>
      </c>
      <c r="F9" s="15">
        <v>0.5051</v>
      </c>
      <c r="G9" s="15">
        <v>0.5645</v>
      </c>
      <c r="H9" s="15">
        <v>0.4802</v>
      </c>
      <c r="I9" s="15">
        <v>0.5744</v>
      </c>
      <c r="J9" s="15">
        <v>0.3948</v>
      </c>
      <c r="K9" s="15">
        <v>0.4104</v>
      </c>
      <c r="L9" s="15">
        <f t="shared" si="0"/>
        <v>0.363266666666667</v>
      </c>
    </row>
    <row r="10" ht="23.2" spans="1:12">
      <c r="A10" s="14" t="s">
        <v>18</v>
      </c>
      <c r="B10" s="14" t="s">
        <v>13</v>
      </c>
      <c r="C10" s="14">
        <v>0.902</v>
      </c>
      <c r="D10" s="14">
        <v>0.8273</v>
      </c>
      <c r="E10" s="14">
        <v>0.8426</v>
      </c>
      <c r="F10" s="14">
        <v>0.9218</v>
      </c>
      <c r="G10" s="14">
        <v>0.9561</v>
      </c>
      <c r="H10" s="14">
        <v>0.9533</v>
      </c>
      <c r="I10" s="14">
        <v>0.9628</v>
      </c>
      <c r="J10" s="14">
        <v>0.9491</v>
      </c>
      <c r="K10" s="14">
        <v>0.9497</v>
      </c>
      <c r="L10" s="14">
        <f t="shared" si="0"/>
        <v>0.9183</v>
      </c>
    </row>
    <row r="11" ht="23.2" spans="1:12">
      <c r="A11" s="14"/>
      <c r="B11" s="14" t="s">
        <v>14</v>
      </c>
      <c r="C11" s="15">
        <v>0.2917</v>
      </c>
      <c r="D11" s="15">
        <v>0.046</v>
      </c>
      <c r="E11" s="15">
        <v>0.3262</v>
      </c>
      <c r="F11" s="15">
        <v>0.6692</v>
      </c>
      <c r="G11" s="15">
        <v>0.7303</v>
      </c>
      <c r="H11" s="15">
        <v>0.6237</v>
      </c>
      <c r="I11" s="15">
        <v>0.75</v>
      </c>
      <c r="J11" s="15">
        <v>0.7923</v>
      </c>
      <c r="K11" s="15">
        <v>0.8</v>
      </c>
      <c r="L11" s="15">
        <f t="shared" si="0"/>
        <v>0.558822222222222</v>
      </c>
    </row>
    <row r="12" ht="23.2" spans="1:12">
      <c r="A12" s="14"/>
      <c r="B12" s="14" t="s">
        <v>15</v>
      </c>
      <c r="C12" s="15">
        <v>0.3292</v>
      </c>
      <c r="D12" s="15">
        <v>0.0541</v>
      </c>
      <c r="E12" s="15">
        <v>0.335</v>
      </c>
      <c r="F12" s="15">
        <v>0.6353</v>
      </c>
      <c r="G12" s="15">
        <v>0.7106</v>
      </c>
      <c r="H12" s="15">
        <v>0.4609</v>
      </c>
      <c r="I12" s="15">
        <v>0.7126</v>
      </c>
      <c r="J12" s="15">
        <v>0.7004</v>
      </c>
      <c r="K12" s="15">
        <v>0.7148</v>
      </c>
      <c r="L12" s="15">
        <f t="shared" si="0"/>
        <v>0.516988888888889</v>
      </c>
    </row>
    <row r="13" ht="23.2" spans="1:12">
      <c r="A13" s="14"/>
      <c r="B13" s="14" t="s">
        <v>16</v>
      </c>
      <c r="C13" s="15">
        <v>0.1261</v>
      </c>
      <c r="D13" s="15">
        <v>0.1001</v>
      </c>
      <c r="E13" s="15">
        <v>0.2731</v>
      </c>
      <c r="F13" s="15">
        <v>0.5893</v>
      </c>
      <c r="G13" s="15">
        <v>0.6768</v>
      </c>
      <c r="H13" s="15">
        <v>0.6183</v>
      </c>
      <c r="I13" s="15">
        <v>0.6795</v>
      </c>
      <c r="J13" s="15">
        <v>0.746</v>
      </c>
      <c r="K13" s="15">
        <v>0.7822</v>
      </c>
      <c r="L13" s="15">
        <f t="shared" si="0"/>
        <v>0.510155555555556</v>
      </c>
    </row>
    <row r="14" ht="23.2" spans="1:12">
      <c r="A14" s="14" t="s">
        <v>19</v>
      </c>
      <c r="B14" s="14" t="s">
        <v>13</v>
      </c>
      <c r="C14" s="14">
        <v>0.47</v>
      </c>
      <c r="D14" s="14">
        <v>0.3471</v>
      </c>
      <c r="E14" s="14">
        <v>0.3762</v>
      </c>
      <c r="F14" s="14">
        <v>0.5054</v>
      </c>
      <c r="G14" s="14">
        <v>0.5777</v>
      </c>
      <c r="H14" s="14">
        <v>0.5453</v>
      </c>
      <c r="I14" s="14">
        <v>0.6236</v>
      </c>
      <c r="J14" s="14">
        <v>0.5234</v>
      </c>
      <c r="K14" s="14">
        <v>0.5677</v>
      </c>
      <c r="L14" s="14">
        <f t="shared" si="0"/>
        <v>0.504044444444445</v>
      </c>
    </row>
    <row r="15" ht="23.2" spans="1:12">
      <c r="A15" s="14"/>
      <c r="B15" s="14" t="s">
        <v>14</v>
      </c>
      <c r="C15" s="15">
        <v>0.2927</v>
      </c>
      <c r="D15" s="15">
        <v>0.0227</v>
      </c>
      <c r="E15" s="15">
        <v>0.1688</v>
      </c>
      <c r="F15" s="15">
        <v>0.4642</v>
      </c>
      <c r="G15" s="15">
        <v>0.5157</v>
      </c>
      <c r="H15" s="15">
        <v>0.3919</v>
      </c>
      <c r="I15" s="15">
        <v>0.5293</v>
      </c>
      <c r="J15" s="15">
        <v>0.4032</v>
      </c>
      <c r="K15" s="15">
        <v>0.4378</v>
      </c>
      <c r="L15" s="15">
        <f t="shared" si="0"/>
        <v>0.358477777777778</v>
      </c>
    </row>
    <row r="16" ht="23.2" spans="1:12">
      <c r="A16" s="14"/>
      <c r="B16" s="14" t="s">
        <v>15</v>
      </c>
      <c r="C16" s="15">
        <v>0.1422</v>
      </c>
      <c r="D16" s="15">
        <v>0.0341</v>
      </c>
      <c r="E16" s="15">
        <v>0.1101</v>
      </c>
      <c r="F16" s="15">
        <v>0.3354</v>
      </c>
      <c r="G16" s="15">
        <v>0.4596</v>
      </c>
      <c r="H16" s="15">
        <v>0.3101</v>
      </c>
      <c r="I16" s="15">
        <v>0.5272</v>
      </c>
      <c r="J16" s="15">
        <v>0.3696</v>
      </c>
      <c r="K16" s="15">
        <v>0.4333</v>
      </c>
      <c r="L16" s="15">
        <f t="shared" si="0"/>
        <v>0.3024</v>
      </c>
    </row>
    <row r="17" ht="23.2" spans="1:12">
      <c r="A17" s="14"/>
      <c r="B17" s="14" t="s">
        <v>16</v>
      </c>
      <c r="C17" s="15">
        <v>0.1167</v>
      </c>
      <c r="D17" s="15">
        <v>0.0301</v>
      </c>
      <c r="E17" s="15">
        <v>0.165</v>
      </c>
      <c r="F17" s="15">
        <v>0.3517</v>
      </c>
      <c r="G17" s="15">
        <v>0.4655</v>
      </c>
      <c r="H17" s="15">
        <v>0.4874</v>
      </c>
      <c r="I17" s="15">
        <v>0.5153</v>
      </c>
      <c r="J17" s="15">
        <v>0.3812</v>
      </c>
      <c r="K17" s="15">
        <v>0.4507</v>
      </c>
      <c r="L17" s="15">
        <f t="shared" si="0"/>
        <v>0.329288888888889</v>
      </c>
    </row>
    <row r="18" ht="23.2" spans="1:12">
      <c r="A18" s="14" t="s">
        <v>20</v>
      </c>
      <c r="B18" s="14" t="s">
        <v>13</v>
      </c>
      <c r="C18" s="16">
        <v>1097</v>
      </c>
      <c r="D18" s="16">
        <v>684</v>
      </c>
      <c r="E18" s="16">
        <v>1117</v>
      </c>
      <c r="F18" s="16">
        <v>1066</v>
      </c>
      <c r="G18" s="16">
        <v>1132</v>
      </c>
      <c r="H18" s="16">
        <v>874</v>
      </c>
      <c r="I18" s="16">
        <v>1065</v>
      </c>
      <c r="J18" s="16">
        <v>1061</v>
      </c>
      <c r="K18" s="16">
        <v>1112</v>
      </c>
      <c r="L18" s="16">
        <f t="shared" si="0"/>
        <v>1023.11111111111</v>
      </c>
    </row>
    <row r="19" ht="23.2" spans="1:12">
      <c r="A19" s="14"/>
      <c r="B19" s="14" t="s">
        <v>14</v>
      </c>
      <c r="C19" s="17">
        <v>174</v>
      </c>
      <c r="D19" s="17">
        <v>165</v>
      </c>
      <c r="E19" s="17">
        <v>541</v>
      </c>
      <c r="F19" s="17">
        <v>407</v>
      </c>
      <c r="G19" s="17">
        <v>608</v>
      </c>
      <c r="H19" s="17">
        <v>494</v>
      </c>
      <c r="I19" s="17">
        <v>544</v>
      </c>
      <c r="J19" s="17">
        <v>407</v>
      </c>
      <c r="K19" s="17">
        <v>585</v>
      </c>
      <c r="L19" s="17">
        <f t="shared" si="0"/>
        <v>436.111111111111</v>
      </c>
    </row>
    <row r="20" ht="23.2" spans="1:12">
      <c r="A20" s="14"/>
      <c r="B20" s="14" t="s">
        <v>15</v>
      </c>
      <c r="C20" s="17">
        <v>355</v>
      </c>
      <c r="D20" s="17">
        <v>386</v>
      </c>
      <c r="E20" s="17">
        <v>461</v>
      </c>
      <c r="F20" s="17">
        <v>457</v>
      </c>
      <c r="G20" s="17">
        <v>736</v>
      </c>
      <c r="H20" s="17">
        <v>543</v>
      </c>
      <c r="I20" s="17">
        <v>588</v>
      </c>
      <c r="J20" s="17">
        <v>424</v>
      </c>
      <c r="K20" s="17">
        <v>470</v>
      </c>
      <c r="L20" s="17">
        <f t="shared" si="0"/>
        <v>491.111111111111</v>
      </c>
    </row>
    <row r="21" ht="23.2" spans="1:12">
      <c r="A21" s="14"/>
      <c r="B21" s="14" t="s">
        <v>16</v>
      </c>
      <c r="C21" s="17">
        <v>568</v>
      </c>
      <c r="D21" s="17">
        <v>213</v>
      </c>
      <c r="E21" s="17">
        <v>635</v>
      </c>
      <c r="F21" s="17">
        <v>574</v>
      </c>
      <c r="G21" s="17">
        <v>885</v>
      </c>
      <c r="H21" s="17">
        <v>782</v>
      </c>
      <c r="I21" s="17">
        <v>727</v>
      </c>
      <c r="J21" s="17">
        <v>574</v>
      </c>
      <c r="K21" s="17">
        <v>604</v>
      </c>
      <c r="L21" s="17">
        <f t="shared" si="0"/>
        <v>618</v>
      </c>
    </row>
  </sheetData>
  <mergeCells count="5">
    <mergeCell ref="A2:A5"/>
    <mergeCell ref="A6:A9"/>
    <mergeCell ref="A10:A13"/>
    <mergeCell ref="A14:A17"/>
    <mergeCell ref="A18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122" zoomScaleNormal="122" workbookViewId="0">
      <selection activeCell="F12" sqref="F12"/>
    </sheetView>
  </sheetViews>
  <sheetFormatPr defaultColWidth="9.69230769230769" defaultRowHeight="16.8" outlineLevelRow="5"/>
  <cols>
    <col min="1" max="1" width="35" style="10" customWidth="1"/>
    <col min="2" max="2" width="13.1346153846154" style="10" customWidth="1"/>
    <col min="3" max="3" width="11.9519230769231" style="10" customWidth="1"/>
    <col min="4" max="4" width="12.4711538461538" style="10" customWidth="1"/>
    <col min="5" max="5" width="13.2596153846154" style="10" customWidth="1"/>
    <col min="6" max="6" width="13.9230769230769" style="10" customWidth="1"/>
    <col min="7" max="7" width="16.1442307692308" style="10" customWidth="1"/>
    <col min="8" max="8" width="14.7019230769231" style="10" customWidth="1"/>
    <col min="9" max="9" width="15.3653846153846" style="10" customWidth="1"/>
    <col min="10" max="10" width="15.625" style="10" customWidth="1"/>
    <col min="11" max="16384" width="9.69230769230769" style="10"/>
  </cols>
  <sheetData>
    <row r="1" s="9" customFormat="1" ht="24.75" customHeight="1" spans="1:6">
      <c r="A1" s="11" t="s">
        <v>21</v>
      </c>
      <c r="B1" s="11" t="s">
        <v>12</v>
      </c>
      <c r="C1" s="11" t="s">
        <v>17</v>
      </c>
      <c r="D1" s="11" t="s">
        <v>18</v>
      </c>
      <c r="E1" s="11" t="s">
        <v>19</v>
      </c>
      <c r="F1" s="11" t="s">
        <v>20</v>
      </c>
    </row>
    <row r="2" ht="23.2" spans="1:10">
      <c r="A2" s="2" t="s">
        <v>13</v>
      </c>
      <c r="B2" s="2">
        <v>0.7579</v>
      </c>
      <c r="C2" s="2">
        <v>0.7373</v>
      </c>
      <c r="D2" s="2">
        <v>0.9561</v>
      </c>
      <c r="E2" s="2">
        <v>0.5777</v>
      </c>
      <c r="F2" s="4">
        <v>1132</v>
      </c>
      <c r="G2" s="1"/>
      <c r="H2" s="1"/>
      <c r="I2" s="1"/>
      <c r="J2" s="1"/>
    </row>
    <row r="3" ht="23.2" spans="1:11">
      <c r="A3" s="12" t="s">
        <v>22</v>
      </c>
      <c r="B3" s="1">
        <v>-0.1637</v>
      </c>
      <c r="C3" s="1">
        <v>-0.1028</v>
      </c>
      <c r="D3" s="1">
        <v>-0.0304</v>
      </c>
      <c r="E3" s="1">
        <v>-0.0886</v>
      </c>
      <c r="F3" s="13">
        <v>-76</v>
      </c>
      <c r="G3" s="1"/>
      <c r="H3" s="1"/>
      <c r="I3" s="1"/>
      <c r="J3" s="1"/>
      <c r="K3" s="13"/>
    </row>
    <row r="4" ht="23.2" spans="1:11">
      <c r="A4" s="2" t="s">
        <v>23</v>
      </c>
      <c r="B4" s="1">
        <v>-0.0895</v>
      </c>
      <c r="C4" s="1">
        <v>-0.0621999999999999</v>
      </c>
      <c r="D4" s="1">
        <v>-0.1679</v>
      </c>
      <c r="E4" s="1">
        <v>-0.0876</v>
      </c>
      <c r="F4" s="13">
        <v>0</v>
      </c>
      <c r="G4" s="1"/>
      <c r="H4" s="1"/>
      <c r="I4" s="1"/>
      <c r="J4" s="1"/>
      <c r="K4" s="13"/>
    </row>
    <row r="5" ht="23.2" spans="1:11">
      <c r="A5" s="2" t="s">
        <v>24</v>
      </c>
      <c r="B5" s="1">
        <v>-0.1051</v>
      </c>
      <c r="C5" s="1">
        <v>-0.0951</v>
      </c>
      <c r="D5" s="1">
        <v>-0.0196</v>
      </c>
      <c r="E5" s="1">
        <v>-0.00129999999999997</v>
      </c>
      <c r="F5" s="13">
        <v>-300</v>
      </c>
      <c r="G5" s="1"/>
      <c r="H5" s="1"/>
      <c r="I5" s="1"/>
      <c r="J5" s="1"/>
      <c r="K5" s="13"/>
    </row>
    <row r="6" ht="23.2" spans="1:11">
      <c r="A6" s="2" t="s">
        <v>25</v>
      </c>
      <c r="B6" s="1">
        <v>-0.3063</v>
      </c>
      <c r="C6" s="1">
        <v>-0.24</v>
      </c>
      <c r="D6" s="1">
        <v>-0.3888</v>
      </c>
      <c r="E6" s="1">
        <v>-0.1598</v>
      </c>
      <c r="F6" s="13">
        <v>-443</v>
      </c>
      <c r="G6" s="1"/>
      <c r="H6" s="1"/>
      <c r="I6" s="1"/>
      <c r="J6" s="1"/>
      <c r="K6" s="1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D14" sqref="D14"/>
    </sheetView>
  </sheetViews>
  <sheetFormatPr defaultColWidth="26.5384615384615" defaultRowHeight="23.2"/>
  <cols>
    <col min="1" max="1" width="28.9230769230769" style="5" customWidth="1"/>
    <col min="2" max="2" width="13.6153846153846" style="5" customWidth="1"/>
    <col min="3" max="3" width="16.0769230769231" style="5" customWidth="1"/>
    <col min="4" max="4" width="17.4615384615385" style="5" customWidth="1"/>
    <col min="5" max="5" width="14.4134615384615" style="5" customWidth="1"/>
    <col min="6" max="16384" width="26.5384615384615" style="5" customWidth="1"/>
  </cols>
  <sheetData>
    <row r="1" ht="34" customHeight="1" spans="1:5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</row>
    <row r="2" ht="39" customHeight="1" spans="1:10">
      <c r="A2" s="6" t="s">
        <v>26</v>
      </c>
      <c r="B2" s="6">
        <v>1759.25</v>
      </c>
      <c r="C2" s="6">
        <v>2805.1</v>
      </c>
      <c r="D2" s="6">
        <v>1601.55</v>
      </c>
      <c r="E2" s="6">
        <v>2972</v>
      </c>
      <c r="G2" s="8"/>
      <c r="H2" s="8"/>
      <c r="I2" s="8"/>
      <c r="J2" s="8"/>
    </row>
    <row r="3" ht="35" customHeight="1" spans="1:10">
      <c r="A3" s="6" t="s">
        <v>27</v>
      </c>
      <c r="B3" s="6">
        <v>203</v>
      </c>
      <c r="C3" s="6">
        <v>432</v>
      </c>
      <c r="D3" s="6">
        <v>234</v>
      </c>
      <c r="E3" s="6">
        <v>459</v>
      </c>
      <c r="H3" s="8"/>
      <c r="I3" s="8"/>
      <c r="J3" s="8"/>
    </row>
    <row r="4" ht="34" customHeight="1" spans="1:10">
      <c r="A4" s="6" t="s">
        <v>28</v>
      </c>
      <c r="B4" s="6">
        <v>77.11</v>
      </c>
      <c r="C4" s="6">
        <v>1666.35</v>
      </c>
      <c r="D4" s="6">
        <v>2166.7</v>
      </c>
      <c r="E4" s="6">
        <v>2951.9</v>
      </c>
      <c r="H4" s="8"/>
      <c r="I4" s="8"/>
      <c r="J4" s="8"/>
    </row>
    <row r="5" ht="40" customHeight="1" spans="1:5">
      <c r="A5" s="6" t="s">
        <v>29</v>
      </c>
      <c r="B5" s="6">
        <v>0</v>
      </c>
      <c r="C5" s="6">
        <v>459</v>
      </c>
      <c r="D5" s="6">
        <v>857</v>
      </c>
      <c r="E5" s="6">
        <v>799</v>
      </c>
    </row>
    <row r="6" ht="40" customHeight="1" spans="1:5">
      <c r="A6" s="6" t="s">
        <v>30</v>
      </c>
      <c r="B6" s="6">
        <f>B2+B4</f>
        <v>1836.36</v>
      </c>
      <c r="C6" s="6">
        <f>C2+C4</f>
        <v>4471.45</v>
      </c>
      <c r="D6" s="6">
        <f>D2+D4</f>
        <v>3768.25</v>
      </c>
      <c r="E6" s="6">
        <f>E2+E4</f>
        <v>5923.9</v>
      </c>
    </row>
    <row r="7" ht="24" spans="1:5">
      <c r="A7" s="5" t="s">
        <v>31</v>
      </c>
      <c r="B7" s="5">
        <f>B5+B3</f>
        <v>203</v>
      </c>
      <c r="C7" s="5">
        <f>C5+C3</f>
        <v>891</v>
      </c>
      <c r="D7" s="5">
        <f>D5+D3</f>
        <v>1091</v>
      </c>
      <c r="E7" s="5">
        <f>E5+E3</f>
        <v>1258</v>
      </c>
    </row>
    <row r="8" spans="3:5">
      <c r="C8" s="7"/>
      <c r="D8" s="7"/>
      <c r="E8" s="7"/>
    </row>
    <row r="9" spans="3:5">
      <c r="C9" s="7"/>
      <c r="D9" s="7"/>
      <c r="E9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08" zoomScaleNormal="108" workbookViewId="0">
      <selection activeCell="E17" sqref="E17"/>
    </sheetView>
  </sheetViews>
  <sheetFormatPr defaultColWidth="30.3846153846154" defaultRowHeight="23.2" outlineLevelCol="5"/>
  <cols>
    <col min="1" max="1" width="37.3846153846154" style="1" customWidth="1"/>
    <col min="2" max="2" width="17.7980769230769" style="1" customWidth="1"/>
    <col min="3" max="3" width="16.9134615384615" style="1" customWidth="1"/>
    <col min="4" max="4" width="16.7596153846154" style="1" customWidth="1"/>
    <col min="5" max="5" width="17.9519230769231" style="1" customWidth="1"/>
    <col min="6" max="6" width="13.0576923076923" style="1" customWidth="1"/>
    <col min="7" max="16384" width="30.3846153846154" style="1" customWidth="1"/>
  </cols>
  <sheetData>
    <row r="1" spans="1:6">
      <c r="A1" s="2" t="s">
        <v>1</v>
      </c>
      <c r="B1" s="2" t="s">
        <v>12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>
      <c r="A2" s="2" t="s">
        <v>14</v>
      </c>
      <c r="B2" s="1">
        <v>0.482</v>
      </c>
      <c r="C2" s="1">
        <v>0.496</v>
      </c>
      <c r="D2" s="1">
        <v>0.7303</v>
      </c>
      <c r="E2" s="3">
        <v>0.5157</v>
      </c>
      <c r="F2" s="4">
        <v>608</v>
      </c>
    </row>
    <row r="3" spans="1:6">
      <c r="A3" s="2" t="s">
        <v>32</v>
      </c>
      <c r="B3" s="1">
        <v>0.4393</v>
      </c>
      <c r="C3" s="1">
        <v>0.4357</v>
      </c>
      <c r="D3" s="1">
        <v>0.6736</v>
      </c>
      <c r="E3" s="1">
        <v>0.4832</v>
      </c>
      <c r="F3" s="4">
        <v>608</v>
      </c>
    </row>
    <row r="4" spans="1:6">
      <c r="A4" s="2" t="s">
        <v>33</v>
      </c>
      <c r="B4" s="2">
        <v>0.4995</v>
      </c>
      <c r="C4" s="2">
        <v>0.5017</v>
      </c>
      <c r="D4" s="2">
        <v>0.8349</v>
      </c>
      <c r="E4" s="2">
        <v>0.5282</v>
      </c>
      <c r="F4" s="4">
        <v>608</v>
      </c>
    </row>
    <row r="5" spans="1:6">
      <c r="A5" s="2" t="s">
        <v>15</v>
      </c>
      <c r="B5" s="1">
        <v>0.4592</v>
      </c>
      <c r="C5" s="1">
        <v>0.4678</v>
      </c>
      <c r="D5" s="1">
        <v>0.7106</v>
      </c>
      <c r="E5" s="1">
        <v>0.4596</v>
      </c>
      <c r="F5" s="4">
        <v>736</v>
      </c>
    </row>
    <row r="6" spans="1:6">
      <c r="A6" s="2" t="s">
        <v>34</v>
      </c>
      <c r="B6" s="1">
        <v>0.3853</v>
      </c>
      <c r="C6" s="1">
        <v>0.4005</v>
      </c>
      <c r="D6" s="1">
        <v>0.6405</v>
      </c>
      <c r="E6" s="1">
        <v>0.3833</v>
      </c>
      <c r="F6" s="4">
        <v>736</v>
      </c>
    </row>
    <row r="7" spans="1:6">
      <c r="A7" s="2" t="s">
        <v>35</v>
      </c>
      <c r="B7" s="2">
        <v>0.5081</v>
      </c>
      <c r="C7" s="2">
        <v>0.562</v>
      </c>
      <c r="D7" s="2">
        <v>0.8004</v>
      </c>
      <c r="E7" s="2">
        <v>0.4851</v>
      </c>
      <c r="F7" s="4">
        <v>736</v>
      </c>
    </row>
    <row r="8" spans="1:6">
      <c r="A8" s="2" t="s">
        <v>16</v>
      </c>
      <c r="B8" s="1">
        <v>0.5447</v>
      </c>
      <c r="C8" s="1">
        <v>0.5645</v>
      </c>
      <c r="D8" s="1">
        <v>0.6768</v>
      </c>
      <c r="E8" s="1">
        <v>0.4655</v>
      </c>
      <c r="F8" s="4">
        <v>885</v>
      </c>
    </row>
    <row r="9" spans="1:6">
      <c r="A9" s="2" t="s">
        <v>36</v>
      </c>
      <c r="B9" s="1">
        <v>0.4818</v>
      </c>
      <c r="C9" s="1">
        <v>0.5019</v>
      </c>
      <c r="D9" s="1">
        <v>0.653</v>
      </c>
      <c r="E9" s="1">
        <v>0.4475</v>
      </c>
      <c r="F9" s="4">
        <v>885</v>
      </c>
    </row>
    <row r="10" spans="1:6">
      <c r="A10" s="2" t="s">
        <v>37</v>
      </c>
      <c r="B10" s="2">
        <v>0.5901</v>
      </c>
      <c r="C10" s="2">
        <v>0.637</v>
      </c>
      <c r="D10" s="2">
        <v>0.8528</v>
      </c>
      <c r="E10" s="2">
        <v>0.5335</v>
      </c>
      <c r="F10" s="4">
        <v>885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RQ1</vt:lpstr>
      <vt:lpstr>RQ2</vt:lpstr>
      <vt:lpstr>RQ3</vt:lpstr>
      <vt:lpstr>Discussion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wangziqi</dc:creator>
  <cp:lastModifiedBy>王子祺</cp:lastModifiedBy>
  <dcterms:created xsi:type="dcterms:W3CDTF">2025-09-12T19:48:00Z</dcterms:created>
  <dcterms:modified xsi:type="dcterms:W3CDTF">2025-09-12T19:50:10Z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04F48C27108155821098C368C5E1BEFB_41</vt:lpwstr>
  </property>
  <property fmtid="{D5CDD505-2E9C-101B-9397-08002B2CF9AE}" pid="3" name="KSOProductBuildVer">
    <vt:lpwstr>2052-12.9.0.20513</vt:lpwstr>
  </property>
</Properties>
</file>